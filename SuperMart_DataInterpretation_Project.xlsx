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shgupta/Desktop/mine data project/"/>
    </mc:Choice>
  </mc:AlternateContent>
  <xr:revisionPtr revIDLastSave="0" documentId="13_ncr:1_{7992CB47-CA51-5C4E-B36C-A2E11A37BD84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ales Data" sheetId="1" r:id="rId1"/>
    <sheet name="Analysis &amp; Formulas" sheetId="2" r:id="rId2"/>
    <sheet name="Summary 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3" l="1"/>
  <c r="D24" i="3"/>
  <c r="C24" i="3"/>
  <c r="E23" i="3"/>
  <c r="D23" i="3"/>
  <c r="C23" i="3"/>
  <c r="E22" i="3"/>
  <c r="D22" i="3"/>
  <c r="C22" i="3"/>
  <c r="E21" i="3"/>
  <c r="D21" i="3"/>
  <c r="C21" i="3"/>
  <c r="D12" i="3"/>
  <c r="A12" i="3"/>
  <c r="D12" i="2"/>
  <c r="C12" i="2"/>
  <c r="D8" i="2"/>
  <c r="C8" i="2"/>
  <c r="D7" i="2"/>
  <c r="C7" i="2"/>
  <c r="D4" i="2"/>
  <c r="C4" i="2"/>
  <c r="E22" i="1"/>
  <c r="G21" i="1"/>
  <c r="I21" i="1" s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I22" i="1" s="1"/>
  <c r="G22" i="1" l="1"/>
  <c r="F23" i="3"/>
  <c r="B23" i="3"/>
  <c r="F24" i="3"/>
  <c r="B24" i="3"/>
  <c r="D11" i="2"/>
  <c r="C11" i="2"/>
  <c r="D10" i="2"/>
  <c r="C10" i="2"/>
  <c r="C5" i="2"/>
  <c r="D8" i="3"/>
  <c r="D9" i="2"/>
  <c r="D6" i="2"/>
  <c r="F21" i="3"/>
  <c r="A8" i="3"/>
  <c r="C9" i="2"/>
  <c r="D4" i="3"/>
  <c r="D3" i="2"/>
  <c r="D16" i="3"/>
  <c r="A16" i="3"/>
  <c r="C6" i="2"/>
  <c r="A4" i="3"/>
  <c r="C3" i="2"/>
  <c r="D5" i="2"/>
  <c r="B21" i="3"/>
  <c r="B22" i="3"/>
  <c r="F22" i="3"/>
</calcChain>
</file>

<file path=xl/sharedStrings.xml><?xml version="1.0" encoding="utf-8"?>
<sst xmlns="http://schemas.openxmlformats.org/spreadsheetml/2006/main" count="142" uniqueCount="99">
  <si>
    <t xml:space="preserve">  SuperMart Retail Store - Monthly Sales Data (2024)</t>
  </si>
  <si>
    <t>Case Study: Analyzing sales performance across departments and regions | Data Interpretation Project</t>
  </si>
  <si>
    <t>S.No</t>
  </si>
  <si>
    <t>Salesperson</t>
  </si>
  <si>
    <t>Region</t>
  </si>
  <si>
    <t>Department</t>
  </si>
  <si>
    <t>Units Sold</t>
  </si>
  <si>
    <t>Unit Price (Rs.)</t>
  </si>
  <si>
    <t>Total Sales (Rs.)</t>
  </si>
  <si>
    <t>Discount (%)</t>
  </si>
  <si>
    <t>Net Sales (Rs.)</t>
  </si>
  <si>
    <t>Month</t>
  </si>
  <si>
    <t>Amit Sharma</t>
  </si>
  <si>
    <t>North</t>
  </si>
  <si>
    <t>Electronics</t>
  </si>
  <si>
    <t>January</t>
  </si>
  <si>
    <t>Priya Singh</t>
  </si>
  <si>
    <t>South</t>
  </si>
  <si>
    <t>Clothing</t>
  </si>
  <si>
    <t>Ravi Kumar</t>
  </si>
  <si>
    <t>East</t>
  </si>
  <si>
    <t>Groceries</t>
  </si>
  <si>
    <t>February</t>
  </si>
  <si>
    <t>Sunita Verma</t>
  </si>
  <si>
    <t>West</t>
  </si>
  <si>
    <t>Deepak Joshi</t>
  </si>
  <si>
    <t>Furniture</t>
  </si>
  <si>
    <t>March</t>
  </si>
  <si>
    <t>Meena Rao</t>
  </si>
  <si>
    <t>Karan Mehta</t>
  </si>
  <si>
    <t>April</t>
  </si>
  <si>
    <t>Anjali Gupta</t>
  </si>
  <si>
    <t>Sanjay Patel</t>
  </si>
  <si>
    <t>May</t>
  </si>
  <si>
    <t>Pooja Nair</t>
  </si>
  <si>
    <t>Vikram Singh</t>
  </si>
  <si>
    <t>June</t>
  </si>
  <si>
    <t>Rekha Mishra</t>
  </si>
  <si>
    <t>Nikhil Arora</t>
  </si>
  <si>
    <t>July</t>
  </si>
  <si>
    <t>Kavita Sharma</t>
  </si>
  <si>
    <t>Arun Tiwari</t>
  </si>
  <si>
    <t>August</t>
  </si>
  <si>
    <t>Shreya Jain</t>
  </si>
  <si>
    <t>Manoj Yadav</t>
  </si>
  <si>
    <t>September</t>
  </si>
  <si>
    <t>Divya Pillai</t>
  </si>
  <si>
    <t>TOTAL</t>
  </si>
  <si>
    <t xml:space="preserve">  Data Analysis - 10 Excel Functions Applied to Sales Data</t>
  </si>
  <si>
    <t>#</t>
  </si>
  <si>
    <t>Function</t>
  </si>
  <si>
    <t>Formula Written</t>
  </si>
  <si>
    <t>Result</t>
  </si>
  <si>
    <t>Interpretation</t>
  </si>
  <si>
    <t>1</t>
  </si>
  <si>
    <t>SUM</t>
  </si>
  <si>
    <t>Adds all 18 net sales values to get total store revenue</t>
  </si>
  <si>
    <t>2</t>
  </si>
  <si>
    <t>AVERAGE</t>
  </si>
  <si>
    <t>Finds average units sold per salesperson across all records</t>
  </si>
  <si>
    <t>3</t>
  </si>
  <si>
    <t>MAX</t>
  </si>
  <si>
    <t>Returns the single highest net sale amount in the dataset</t>
  </si>
  <si>
    <t>4</t>
  </si>
  <si>
    <t>MIN</t>
  </si>
  <si>
    <t>Returns the single lowest net sale amount in the dataset</t>
  </si>
  <si>
    <t>5</t>
  </si>
  <si>
    <t>COUNT</t>
  </si>
  <si>
    <t>Counts how many numeric entries exist in Units Sold column</t>
  </si>
  <si>
    <t>6</t>
  </si>
  <si>
    <t>COUNTIF</t>
  </si>
  <si>
    <t>Counts only the rows where Region equals North</t>
  </si>
  <si>
    <t>7</t>
  </si>
  <si>
    <t>SUMIF</t>
  </si>
  <si>
    <t>Sums Net Sales for Electronics department only</t>
  </si>
  <si>
    <t>8</t>
  </si>
  <si>
    <t>IF</t>
  </si>
  <si>
    <t>Checks if total revenue crosses Rs. 20 lakh target</t>
  </si>
  <si>
    <t>9</t>
  </si>
  <si>
    <t>VLOOKUP</t>
  </si>
  <si>
    <t>Looks up Salesperson #7 and retrieves their Net Sales value</t>
  </si>
  <si>
    <t>10</t>
  </si>
  <si>
    <t>AVERAGEIF</t>
  </si>
  <si>
    <t>Calculates average units sold specifically for South region</t>
  </si>
  <si>
    <t xml:space="preserve">  SuperMart - Executive Summary Dashboard</t>
  </si>
  <si>
    <t xml:space="preserve">  KEY PERFORMANCE INDICATORS</t>
  </si>
  <si>
    <t>Total Revenue (Rs.)</t>
  </si>
  <si>
    <t>Avg Net Sales/Deal</t>
  </si>
  <si>
    <t>Max Single Sale (Rs.)</t>
  </si>
  <si>
    <t>Min Single Sale (Rs.)</t>
  </si>
  <si>
    <t>Total Units Sold</t>
  </si>
  <si>
    <t>No. of Transactions</t>
  </si>
  <si>
    <t>Electronics Revenue</t>
  </si>
  <si>
    <t>North Region Sales</t>
  </si>
  <si>
    <t xml:space="preserve">  REGION-WISE PERFORMANCE BREAKDOWN</t>
  </si>
  <si>
    <t>Total Net Sales</t>
  </si>
  <si>
    <t>Avg Discount (%)</t>
  </si>
  <si>
    <t>Records</t>
  </si>
  <si>
    <t>Target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</si>
</sst>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Cambria"/>
      <family val="1"/>
    </font>
    <font>
      <sz val="18"/>
      <color theme="1"/>
      <name val="Calibri"/>
      <family val="2"/>
      <charset val="1"/>
    </font>
    <font>
      <b/>
      <sz val="14"/>
      <color rgb="FFFFFFFF"/>
      <name val="Cambria"/>
      <family val="1"/>
    </font>
    <font>
      <b/>
      <sz val="18"/>
      <color rgb="FF1F3864"/>
      <name val="Cambria"/>
      <family val="1"/>
    </font>
    <font>
      <i/>
      <sz val="18"/>
      <color rgb="FF7030A0"/>
      <name val="Cambria"/>
      <family val="1"/>
    </font>
    <font>
      <b/>
      <sz val="18"/>
      <color rgb="FF375623"/>
      <name val="Cambria"/>
      <family val="1"/>
    </font>
    <font>
      <sz val="16"/>
      <color theme="1"/>
      <name val="Times New Roman"/>
      <family val="1"/>
    </font>
    <font>
      <b/>
      <sz val="18"/>
      <name val="Cambria"/>
      <family val="1"/>
    </font>
    <font>
      <sz val="18"/>
      <name val="Cambria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i/>
      <sz val="18"/>
      <color theme="1"/>
      <name val="Times New Roman"/>
      <family val="1"/>
    </font>
    <font>
      <sz val="18"/>
      <color rgb="FFFF0000"/>
      <name val="Times New Roman"/>
      <family val="1"/>
    </font>
    <font>
      <b/>
      <sz val="18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595959"/>
        <bgColor rgb="FF375623"/>
      </patternFill>
    </fill>
    <fill>
      <patternFill patternType="solid">
        <fgColor rgb="FFF4B942"/>
        <bgColor rgb="FFFFCC9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333399"/>
      </patternFill>
    </fill>
    <fill>
      <patternFill patternType="solid">
        <fgColor theme="4"/>
        <bgColor rgb="FF333399"/>
      </patternFill>
    </fill>
    <fill>
      <patternFill patternType="solid">
        <fgColor rgb="FF00B050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/>
    </xf>
    <xf numFmtId="0" fontId="2" fillId="0" borderId="0" xfId="0" applyFont="1"/>
    <xf numFmtId="0" fontId="4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4" fontId="6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1" fontId="6" fillId="9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" fontId="8" fillId="9" borderId="1" xfId="0" applyNumberFormat="1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4" fontId="11" fillId="5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" fontId="13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4" fontId="14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Normal="120" workbookViewId="0">
      <selection activeCell="E24" sqref="E24"/>
    </sheetView>
  </sheetViews>
  <sheetFormatPr baseColWidth="10" defaultColWidth="8.6640625" defaultRowHeight="23" x14ac:dyDescent="0.2"/>
  <cols>
    <col min="1" max="1" width="9.33203125" style="47" customWidth="1"/>
    <col min="2" max="2" width="18" style="47" customWidth="1"/>
    <col min="3" max="3" width="14.83203125" style="47" customWidth="1"/>
    <col min="4" max="4" width="19.5" style="47" customWidth="1"/>
    <col min="5" max="5" width="19" style="47" customWidth="1"/>
    <col min="6" max="6" width="26.6640625" style="47" customWidth="1"/>
    <col min="7" max="7" width="24.1640625" style="47" customWidth="1"/>
    <col min="8" max="8" width="19.5" style="47" customWidth="1"/>
    <col min="9" max="9" width="23.1640625" style="47" customWidth="1"/>
    <col min="10" max="10" width="12" style="47" customWidth="1"/>
    <col min="11" max="16384" width="8.6640625" style="47"/>
  </cols>
  <sheetData>
    <row r="1" spans="1:10" ht="33.7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8" customHeight="1" x14ac:dyDescent="0.2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30" customHeight="1" x14ac:dyDescent="0.2">
      <c r="A3" s="35" t="s">
        <v>2</v>
      </c>
      <c r="B3" s="35" t="s">
        <v>3</v>
      </c>
      <c r="C3" s="35" t="s">
        <v>4</v>
      </c>
      <c r="D3" s="35" t="s">
        <v>5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</row>
    <row r="4" spans="1:10" x14ac:dyDescent="0.2">
      <c r="A4" s="36">
        <v>1</v>
      </c>
      <c r="B4" s="36" t="s">
        <v>12</v>
      </c>
      <c r="C4" s="36" t="s">
        <v>13</v>
      </c>
      <c r="D4" s="36" t="s">
        <v>14</v>
      </c>
      <c r="E4" s="36">
        <v>120</v>
      </c>
      <c r="F4" s="37">
        <v>15000</v>
      </c>
      <c r="G4" s="37">
        <f t="shared" ref="G4:G21" si="0">E4*F4</f>
        <v>1800000</v>
      </c>
      <c r="H4" s="36">
        <v>5</v>
      </c>
      <c r="I4" s="37">
        <f t="shared" ref="I4:I21" si="1">G4*(1-H4/100)</f>
        <v>1710000</v>
      </c>
      <c r="J4" s="36" t="s">
        <v>15</v>
      </c>
    </row>
    <row r="5" spans="1:10" x14ac:dyDescent="0.2">
      <c r="A5" s="38">
        <v>2</v>
      </c>
      <c r="B5" s="38" t="s">
        <v>16</v>
      </c>
      <c r="C5" s="38" t="s">
        <v>17</v>
      </c>
      <c r="D5" s="38" t="s">
        <v>18</v>
      </c>
      <c r="E5" s="38">
        <v>200</v>
      </c>
      <c r="F5" s="39">
        <v>1200</v>
      </c>
      <c r="G5" s="39">
        <f t="shared" si="0"/>
        <v>240000</v>
      </c>
      <c r="H5" s="38">
        <v>10</v>
      </c>
      <c r="I5" s="39">
        <f t="shared" si="1"/>
        <v>216000</v>
      </c>
      <c r="J5" s="38" t="s">
        <v>15</v>
      </c>
    </row>
    <row r="6" spans="1:10" x14ac:dyDescent="0.2">
      <c r="A6" s="36">
        <v>3</v>
      </c>
      <c r="B6" s="36" t="s">
        <v>19</v>
      </c>
      <c r="C6" s="36" t="s">
        <v>20</v>
      </c>
      <c r="D6" s="36" t="s">
        <v>21</v>
      </c>
      <c r="E6" s="36">
        <v>500</v>
      </c>
      <c r="F6" s="37">
        <v>80</v>
      </c>
      <c r="G6" s="37">
        <f t="shared" si="0"/>
        <v>40000</v>
      </c>
      <c r="H6" s="36">
        <v>2</v>
      </c>
      <c r="I6" s="37">
        <f t="shared" si="1"/>
        <v>39200</v>
      </c>
      <c r="J6" s="36" t="s">
        <v>22</v>
      </c>
    </row>
    <row r="7" spans="1:10" x14ac:dyDescent="0.2">
      <c r="A7" s="38">
        <v>4</v>
      </c>
      <c r="B7" s="38" t="s">
        <v>23</v>
      </c>
      <c r="C7" s="38" t="s">
        <v>24</v>
      </c>
      <c r="D7" s="38" t="s">
        <v>14</v>
      </c>
      <c r="E7" s="38">
        <v>85</v>
      </c>
      <c r="F7" s="39">
        <v>22000</v>
      </c>
      <c r="G7" s="39">
        <f t="shared" si="0"/>
        <v>1870000</v>
      </c>
      <c r="H7" s="38">
        <v>8</v>
      </c>
      <c r="I7" s="39">
        <f t="shared" si="1"/>
        <v>1720400</v>
      </c>
      <c r="J7" s="38" t="s">
        <v>22</v>
      </c>
    </row>
    <row r="8" spans="1:10" x14ac:dyDescent="0.2">
      <c r="A8" s="36">
        <v>5</v>
      </c>
      <c r="B8" s="36" t="s">
        <v>25</v>
      </c>
      <c r="C8" s="36" t="s">
        <v>13</v>
      </c>
      <c r="D8" s="36" t="s">
        <v>26</v>
      </c>
      <c r="E8" s="36">
        <v>60</v>
      </c>
      <c r="F8" s="37">
        <v>8500</v>
      </c>
      <c r="G8" s="37">
        <f t="shared" si="0"/>
        <v>510000</v>
      </c>
      <c r="H8" s="36">
        <v>12</v>
      </c>
      <c r="I8" s="37">
        <f t="shared" si="1"/>
        <v>448800</v>
      </c>
      <c r="J8" s="36" t="s">
        <v>27</v>
      </c>
    </row>
    <row r="9" spans="1:10" x14ac:dyDescent="0.2">
      <c r="A9" s="38">
        <v>6</v>
      </c>
      <c r="B9" s="38" t="s">
        <v>28</v>
      </c>
      <c r="C9" s="38" t="s">
        <v>17</v>
      </c>
      <c r="D9" s="38" t="s">
        <v>21</v>
      </c>
      <c r="E9" s="38">
        <v>650</v>
      </c>
      <c r="F9" s="39">
        <v>95</v>
      </c>
      <c r="G9" s="39">
        <f t="shared" si="0"/>
        <v>61750</v>
      </c>
      <c r="H9" s="38">
        <v>3</v>
      </c>
      <c r="I9" s="39">
        <f t="shared" si="1"/>
        <v>59897.5</v>
      </c>
      <c r="J9" s="38" t="s">
        <v>27</v>
      </c>
    </row>
    <row r="10" spans="1:10" x14ac:dyDescent="0.2">
      <c r="A10" s="40">
        <v>7</v>
      </c>
      <c r="B10" s="40" t="s">
        <v>29</v>
      </c>
      <c r="C10" s="40" t="s">
        <v>20</v>
      </c>
      <c r="D10" s="40" t="s">
        <v>18</v>
      </c>
      <c r="E10" s="40">
        <v>180</v>
      </c>
      <c r="F10" s="41">
        <v>1500</v>
      </c>
      <c r="G10" s="41">
        <f t="shared" si="0"/>
        <v>270000</v>
      </c>
      <c r="H10" s="40">
        <v>7</v>
      </c>
      <c r="I10" s="41">
        <f t="shared" si="1"/>
        <v>251099.99999999997</v>
      </c>
      <c r="J10" s="40" t="s">
        <v>30</v>
      </c>
    </row>
    <row r="11" spans="1:10" x14ac:dyDescent="0.2">
      <c r="A11" s="38">
        <v>8</v>
      </c>
      <c r="B11" s="38" t="s">
        <v>31</v>
      </c>
      <c r="C11" s="38" t="s">
        <v>24</v>
      </c>
      <c r="D11" s="38" t="s">
        <v>14</v>
      </c>
      <c r="E11" s="38">
        <v>95</v>
      </c>
      <c r="F11" s="39">
        <v>18000</v>
      </c>
      <c r="G11" s="39">
        <f t="shared" si="0"/>
        <v>1710000</v>
      </c>
      <c r="H11" s="38">
        <v>6</v>
      </c>
      <c r="I11" s="39">
        <f t="shared" si="1"/>
        <v>1607400</v>
      </c>
      <c r="J11" s="38" t="s">
        <v>30</v>
      </c>
    </row>
    <row r="12" spans="1:10" x14ac:dyDescent="0.2">
      <c r="A12" s="36">
        <v>9</v>
      </c>
      <c r="B12" s="36" t="s">
        <v>32</v>
      </c>
      <c r="C12" s="36" t="s">
        <v>13</v>
      </c>
      <c r="D12" s="36" t="s">
        <v>26</v>
      </c>
      <c r="E12" s="36">
        <v>45</v>
      </c>
      <c r="F12" s="37">
        <v>12000</v>
      </c>
      <c r="G12" s="37">
        <f t="shared" si="0"/>
        <v>540000</v>
      </c>
      <c r="H12" s="36">
        <v>15</v>
      </c>
      <c r="I12" s="37">
        <f t="shared" si="1"/>
        <v>459000</v>
      </c>
      <c r="J12" s="36" t="s">
        <v>33</v>
      </c>
    </row>
    <row r="13" spans="1:10" x14ac:dyDescent="0.2">
      <c r="A13" s="38">
        <v>10</v>
      </c>
      <c r="B13" s="38" t="s">
        <v>34</v>
      </c>
      <c r="C13" s="38" t="s">
        <v>17</v>
      </c>
      <c r="D13" s="38" t="s">
        <v>14</v>
      </c>
      <c r="E13" s="38">
        <v>110</v>
      </c>
      <c r="F13" s="39">
        <v>16500</v>
      </c>
      <c r="G13" s="39">
        <f t="shared" si="0"/>
        <v>1815000</v>
      </c>
      <c r="H13" s="38">
        <v>4</v>
      </c>
      <c r="I13" s="39">
        <f t="shared" si="1"/>
        <v>1742400</v>
      </c>
      <c r="J13" s="38" t="s">
        <v>33</v>
      </c>
    </row>
    <row r="14" spans="1:10" x14ac:dyDescent="0.2">
      <c r="A14" s="36">
        <v>11</v>
      </c>
      <c r="B14" s="36" t="s">
        <v>35</v>
      </c>
      <c r="C14" s="36" t="s">
        <v>20</v>
      </c>
      <c r="D14" s="36" t="s">
        <v>21</v>
      </c>
      <c r="E14" s="36">
        <v>720</v>
      </c>
      <c r="F14" s="37">
        <v>75</v>
      </c>
      <c r="G14" s="37">
        <f t="shared" si="0"/>
        <v>54000</v>
      </c>
      <c r="H14" s="36">
        <v>1</v>
      </c>
      <c r="I14" s="37">
        <f t="shared" si="1"/>
        <v>53460</v>
      </c>
      <c r="J14" s="36" t="s">
        <v>36</v>
      </c>
    </row>
    <row r="15" spans="1:10" x14ac:dyDescent="0.2">
      <c r="A15" s="38">
        <v>12</v>
      </c>
      <c r="B15" s="38" t="s">
        <v>37</v>
      </c>
      <c r="C15" s="38" t="s">
        <v>24</v>
      </c>
      <c r="D15" s="38" t="s">
        <v>18</v>
      </c>
      <c r="E15" s="38">
        <v>160</v>
      </c>
      <c r="F15" s="39">
        <v>1800</v>
      </c>
      <c r="G15" s="39">
        <f t="shared" si="0"/>
        <v>288000</v>
      </c>
      <c r="H15" s="38">
        <v>9</v>
      </c>
      <c r="I15" s="39">
        <f t="shared" si="1"/>
        <v>262080</v>
      </c>
      <c r="J15" s="38" t="s">
        <v>36</v>
      </c>
    </row>
    <row r="16" spans="1:10" x14ac:dyDescent="0.2">
      <c r="A16" s="36">
        <v>13</v>
      </c>
      <c r="B16" s="36" t="s">
        <v>38</v>
      </c>
      <c r="C16" s="36" t="s">
        <v>13</v>
      </c>
      <c r="D16" s="36" t="s">
        <v>14</v>
      </c>
      <c r="E16" s="36">
        <v>140</v>
      </c>
      <c r="F16" s="37">
        <v>20000</v>
      </c>
      <c r="G16" s="37">
        <f t="shared" si="0"/>
        <v>2800000</v>
      </c>
      <c r="H16" s="36">
        <v>5</v>
      </c>
      <c r="I16" s="37">
        <f t="shared" si="1"/>
        <v>2660000</v>
      </c>
      <c r="J16" s="36" t="s">
        <v>39</v>
      </c>
    </row>
    <row r="17" spans="1:10" x14ac:dyDescent="0.2">
      <c r="A17" s="38">
        <v>14</v>
      </c>
      <c r="B17" s="38" t="s">
        <v>40</v>
      </c>
      <c r="C17" s="38" t="s">
        <v>17</v>
      </c>
      <c r="D17" s="38" t="s">
        <v>26</v>
      </c>
      <c r="E17" s="38">
        <v>55</v>
      </c>
      <c r="F17" s="39">
        <v>9500</v>
      </c>
      <c r="G17" s="39">
        <f t="shared" si="0"/>
        <v>522500</v>
      </c>
      <c r="H17" s="38">
        <v>11</v>
      </c>
      <c r="I17" s="39">
        <f t="shared" si="1"/>
        <v>465025</v>
      </c>
      <c r="J17" s="38" t="s">
        <v>39</v>
      </c>
    </row>
    <row r="18" spans="1:10" x14ac:dyDescent="0.2">
      <c r="A18" s="36">
        <v>15</v>
      </c>
      <c r="B18" s="36" t="s">
        <v>41</v>
      </c>
      <c r="C18" s="36" t="s">
        <v>20</v>
      </c>
      <c r="D18" s="36" t="s">
        <v>18</v>
      </c>
      <c r="E18" s="36">
        <v>210</v>
      </c>
      <c r="F18" s="37">
        <v>1100</v>
      </c>
      <c r="G18" s="37">
        <f t="shared" si="0"/>
        <v>231000</v>
      </c>
      <c r="H18" s="36">
        <v>6</v>
      </c>
      <c r="I18" s="37">
        <f t="shared" si="1"/>
        <v>217140</v>
      </c>
      <c r="J18" s="36" t="s">
        <v>42</v>
      </c>
    </row>
    <row r="19" spans="1:10" x14ac:dyDescent="0.2">
      <c r="A19" s="38">
        <v>16</v>
      </c>
      <c r="B19" s="38" t="s">
        <v>43</v>
      </c>
      <c r="C19" s="38" t="s">
        <v>24</v>
      </c>
      <c r="D19" s="38" t="s">
        <v>21</v>
      </c>
      <c r="E19" s="38">
        <v>480</v>
      </c>
      <c r="F19" s="39">
        <v>90</v>
      </c>
      <c r="G19" s="39">
        <f t="shared" si="0"/>
        <v>43200</v>
      </c>
      <c r="H19" s="38">
        <v>2</v>
      </c>
      <c r="I19" s="39">
        <f t="shared" si="1"/>
        <v>42336</v>
      </c>
      <c r="J19" s="38" t="s">
        <v>42</v>
      </c>
    </row>
    <row r="20" spans="1:10" x14ac:dyDescent="0.2">
      <c r="A20" s="36">
        <v>17</v>
      </c>
      <c r="B20" s="36" t="s">
        <v>44</v>
      </c>
      <c r="C20" s="36" t="s">
        <v>13</v>
      </c>
      <c r="D20" s="36" t="s">
        <v>26</v>
      </c>
      <c r="E20" s="36">
        <v>70</v>
      </c>
      <c r="F20" s="37">
        <v>7800</v>
      </c>
      <c r="G20" s="37">
        <f t="shared" si="0"/>
        <v>546000</v>
      </c>
      <c r="H20" s="36">
        <v>13</v>
      </c>
      <c r="I20" s="37">
        <f t="shared" si="1"/>
        <v>475020</v>
      </c>
      <c r="J20" s="36" t="s">
        <v>45</v>
      </c>
    </row>
    <row r="21" spans="1:10" x14ac:dyDescent="0.2">
      <c r="A21" s="38">
        <v>18</v>
      </c>
      <c r="B21" s="38" t="s">
        <v>46</v>
      </c>
      <c r="C21" s="38" t="s">
        <v>17</v>
      </c>
      <c r="D21" s="38" t="s">
        <v>14</v>
      </c>
      <c r="E21" s="38">
        <v>130</v>
      </c>
      <c r="F21" s="39">
        <v>17500</v>
      </c>
      <c r="G21" s="39">
        <f t="shared" si="0"/>
        <v>2275000</v>
      </c>
      <c r="H21" s="38">
        <v>7</v>
      </c>
      <c r="I21" s="39">
        <f t="shared" si="1"/>
        <v>2115750</v>
      </c>
      <c r="J21" s="38" t="s">
        <v>45</v>
      </c>
    </row>
    <row r="22" spans="1:10" ht="15.75" customHeight="1" x14ac:dyDescent="0.2">
      <c r="A22" s="42"/>
      <c r="B22" s="43" t="s">
        <v>47</v>
      </c>
      <c r="C22" s="44"/>
      <c r="D22" s="44"/>
      <c r="E22" s="45">
        <f>SUM(E4:E21)</f>
        <v>4010</v>
      </c>
      <c r="F22" s="44"/>
      <c r="G22" s="45">
        <f>SUM(G4:G21)</f>
        <v>15616450</v>
      </c>
      <c r="H22" s="44"/>
      <c r="I22" s="45">
        <f>SUM(I4:I21)</f>
        <v>14545008.5</v>
      </c>
      <c r="J22" s="46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="111" zoomScaleNormal="140" workbookViewId="0">
      <selection activeCell="D13" sqref="D13"/>
    </sheetView>
  </sheetViews>
  <sheetFormatPr baseColWidth="10" defaultColWidth="8.6640625" defaultRowHeight="15" x14ac:dyDescent="0.2"/>
  <cols>
    <col min="1" max="1" width="5" customWidth="1"/>
    <col min="2" max="2" width="18.33203125" customWidth="1"/>
    <col min="3" max="3" width="60" customWidth="1"/>
    <col min="4" max="4" width="24.1640625" customWidth="1"/>
    <col min="5" max="5" width="72.5" customWidth="1"/>
  </cols>
  <sheetData>
    <row r="1" spans="1:6" ht="31.5" customHeight="1" x14ac:dyDescent="0.2">
      <c r="A1" s="13" t="s">
        <v>48</v>
      </c>
      <c r="B1" s="13"/>
      <c r="C1" s="13"/>
      <c r="D1" s="13"/>
      <c r="E1" s="13"/>
      <c r="F1" s="13"/>
    </row>
    <row r="2" spans="1:6" ht="21.75" customHeight="1" x14ac:dyDescent="0.3">
      <c r="A2" s="1" t="s">
        <v>49</v>
      </c>
      <c r="B2" s="1" t="s">
        <v>50</v>
      </c>
      <c r="C2" s="1" t="s">
        <v>51</v>
      </c>
      <c r="D2" s="1" t="s">
        <v>52</v>
      </c>
      <c r="E2" s="12" t="s">
        <v>53</v>
      </c>
      <c r="F2" s="2"/>
    </row>
    <row r="3" spans="1:6" ht="25.5" customHeight="1" x14ac:dyDescent="0.3">
      <c r="A3" s="3" t="s">
        <v>54</v>
      </c>
      <c r="B3" s="4" t="s">
        <v>55</v>
      </c>
      <c r="C3" s="5">
        <f>SUM('Sales Data'!I4:I21)</f>
        <v>14545008.5</v>
      </c>
      <c r="D3" s="6">
        <f>SUM('Sales Data'!I4:I21)</f>
        <v>14545008.5</v>
      </c>
      <c r="E3" s="14" t="s">
        <v>56</v>
      </c>
      <c r="F3" s="2"/>
    </row>
    <row r="4" spans="1:6" ht="25.5" customHeight="1" x14ac:dyDescent="0.3">
      <c r="A4" s="3" t="s">
        <v>57</v>
      </c>
      <c r="B4" s="7" t="s">
        <v>58</v>
      </c>
      <c r="C4" s="5">
        <f>AVERAGE('Sales Data'!E4:E21)</f>
        <v>222.77777777777777</v>
      </c>
      <c r="D4" s="8">
        <f>AVERAGE('Sales Data'!E4:E21)</f>
        <v>222.77777777777777</v>
      </c>
      <c r="E4" s="14" t="s">
        <v>59</v>
      </c>
      <c r="F4" s="2"/>
    </row>
    <row r="5" spans="1:6" ht="25.5" customHeight="1" x14ac:dyDescent="0.3">
      <c r="A5" s="3" t="s">
        <v>60</v>
      </c>
      <c r="B5" s="9" t="s">
        <v>61</v>
      </c>
      <c r="C5" s="5">
        <f>MAX('Sales Data'!I4:I21)</f>
        <v>2660000</v>
      </c>
      <c r="D5" s="6">
        <f>MAX('Sales Data'!I4:I21)</f>
        <v>2660000</v>
      </c>
      <c r="E5" s="14" t="s">
        <v>62</v>
      </c>
      <c r="F5" s="2"/>
    </row>
    <row r="6" spans="1:6" ht="25.5" customHeight="1" x14ac:dyDescent="0.3">
      <c r="A6" s="3" t="s">
        <v>63</v>
      </c>
      <c r="B6" s="4" t="s">
        <v>64</v>
      </c>
      <c r="C6" s="5">
        <f>MIN('Sales Data'!I4:I21)</f>
        <v>39200</v>
      </c>
      <c r="D6" s="6">
        <f>MIN('Sales Data'!I4:I21)</f>
        <v>39200</v>
      </c>
      <c r="E6" s="14" t="s">
        <v>65</v>
      </c>
      <c r="F6" s="2"/>
    </row>
    <row r="7" spans="1:6" ht="25.5" customHeight="1" x14ac:dyDescent="0.3">
      <c r="A7" s="3" t="s">
        <v>66</v>
      </c>
      <c r="B7" s="7" t="s">
        <v>67</v>
      </c>
      <c r="C7" s="5">
        <f>COUNT('Sales Data'!E4:E21)</f>
        <v>18</v>
      </c>
      <c r="D7" s="10">
        <f>COUNT('Sales Data'!E4:E21)</f>
        <v>18</v>
      </c>
      <c r="E7" s="14" t="s">
        <v>68</v>
      </c>
      <c r="F7" s="2"/>
    </row>
    <row r="8" spans="1:6" ht="25.5" customHeight="1" x14ac:dyDescent="0.3">
      <c r="A8" s="3" t="s">
        <v>69</v>
      </c>
      <c r="B8" s="9" t="s">
        <v>70</v>
      </c>
      <c r="C8" s="5">
        <f>COUNTIF('Sales Data'!C4:C21,"North")</f>
        <v>5</v>
      </c>
      <c r="D8" s="10">
        <f>COUNTIF('Sales Data'!C4:C21,"North")</f>
        <v>5</v>
      </c>
      <c r="E8" s="14" t="s">
        <v>71</v>
      </c>
      <c r="F8" s="2"/>
    </row>
    <row r="9" spans="1:6" ht="25.5" customHeight="1" x14ac:dyDescent="0.3">
      <c r="A9" s="3" t="s">
        <v>72</v>
      </c>
      <c r="B9" s="4" t="s">
        <v>73</v>
      </c>
      <c r="C9" s="5">
        <f>SUMIF('Sales Data'!D4:D21,"Electronics",'Sales Data'!I4:I21)</f>
        <v>11555950</v>
      </c>
      <c r="D9" s="6">
        <f>SUMIF('Sales Data'!D4:D21,"Electronics",'Sales Data'!I4:I21)</f>
        <v>11555950</v>
      </c>
      <c r="E9" s="14" t="s">
        <v>74</v>
      </c>
      <c r="F9" s="2"/>
    </row>
    <row r="10" spans="1:6" ht="25.5" customHeight="1" x14ac:dyDescent="0.3">
      <c r="A10" s="3" t="s">
        <v>75</v>
      </c>
      <c r="B10" s="7" t="s">
        <v>76</v>
      </c>
      <c r="C10" s="5" t="str">
        <f>IF(SUM('Sales Data'!I4:I21)&gt;2000000,"TARGET MET","BELOW TARGET")</f>
        <v>TARGET MET</v>
      </c>
      <c r="D10" s="11" t="str">
        <f>IF(SUM('Sales Data'!I4:I21)&gt;2000000,"TARGET MET","BELOW TARGET")</f>
        <v>TARGET MET</v>
      </c>
      <c r="E10" s="14" t="s">
        <v>77</v>
      </c>
      <c r="F10" s="2"/>
    </row>
    <row r="11" spans="1:6" ht="25.5" customHeight="1" x14ac:dyDescent="0.3">
      <c r="A11" s="3" t="s">
        <v>78</v>
      </c>
      <c r="B11" s="9" t="s">
        <v>79</v>
      </c>
      <c r="C11" s="5">
        <f>VLOOKUP(7,'Sales Data'!A4:I21,9,FALSE())</f>
        <v>251099.99999999997</v>
      </c>
      <c r="D11" s="6">
        <f>VLOOKUP(7,'Sales Data'!A4:I21,9,FALSE())</f>
        <v>251099.99999999997</v>
      </c>
      <c r="E11" s="14" t="s">
        <v>80</v>
      </c>
      <c r="F11" s="2"/>
    </row>
    <row r="12" spans="1:6" ht="25.5" customHeight="1" x14ac:dyDescent="0.3">
      <c r="A12" s="3" t="s">
        <v>81</v>
      </c>
      <c r="B12" s="4" t="s">
        <v>82</v>
      </c>
      <c r="C12" s="5">
        <f>AVERAGEIF('Sales Data'!C4:C21,"South",'Sales Data'!E4:E21)</f>
        <v>229</v>
      </c>
      <c r="D12" s="8">
        <f>AVERAGEIF('Sales Data'!C4:C21,"South",'Sales Data'!E4:E21)</f>
        <v>229</v>
      </c>
      <c r="E12" s="14" t="s">
        <v>83</v>
      </c>
      <c r="F12" s="2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="106" zoomScaleNormal="100" workbookViewId="0">
      <selection activeCell="I20" sqref="I20"/>
    </sheetView>
  </sheetViews>
  <sheetFormatPr baseColWidth="10" defaultColWidth="8.6640625" defaultRowHeight="24" x14ac:dyDescent="0.2"/>
  <cols>
    <col min="1" max="1" width="14" style="19" customWidth="1"/>
    <col min="2" max="2" width="22.1640625" style="19" customWidth="1"/>
    <col min="3" max="3" width="14" style="19" customWidth="1"/>
    <col min="4" max="4" width="16" style="19" customWidth="1"/>
    <col min="5" max="5" width="12" style="19" customWidth="1"/>
    <col min="6" max="6" width="23.33203125" style="19" customWidth="1"/>
    <col min="7" max="7" width="13.1640625" style="19" customWidth="1"/>
    <col min="8" max="16384" width="8.6640625" style="19"/>
  </cols>
  <sheetData>
    <row r="1" spans="1:7" ht="31.5" customHeight="1" x14ac:dyDescent="0.2">
      <c r="A1" s="13" t="s">
        <v>84</v>
      </c>
      <c r="B1" s="13"/>
      <c r="C1" s="13"/>
      <c r="D1" s="13"/>
      <c r="E1" s="13"/>
      <c r="F1" s="13"/>
      <c r="G1" s="13"/>
    </row>
    <row r="2" spans="1:7" x14ac:dyDescent="0.2">
      <c r="A2" s="32" t="s">
        <v>85</v>
      </c>
      <c r="B2" s="32"/>
      <c r="C2" s="32"/>
      <c r="D2" s="32"/>
      <c r="E2" s="32"/>
      <c r="F2" s="32"/>
      <c r="G2" s="32"/>
    </row>
    <row r="3" spans="1:7" ht="21.75" customHeight="1" x14ac:dyDescent="0.2">
      <c r="A3" s="15" t="s">
        <v>86</v>
      </c>
      <c r="B3" s="15"/>
      <c r="C3" s="15"/>
      <c r="D3" s="15" t="s">
        <v>87</v>
      </c>
      <c r="E3" s="15"/>
      <c r="F3" s="15"/>
    </row>
    <row r="4" spans="1:7" ht="31.5" customHeight="1" x14ac:dyDescent="0.2">
      <c r="A4" s="16">
        <f>SUM('Sales Data'!I4:I21)</f>
        <v>14545008.5</v>
      </c>
      <c r="B4" s="16"/>
      <c r="C4" s="16"/>
      <c r="D4" s="16">
        <f>AVERAGE('Sales Data'!I4:I21)</f>
        <v>808056.02777777775</v>
      </c>
      <c r="E4" s="16"/>
      <c r="F4" s="16"/>
    </row>
    <row r="5" spans="1:7" ht="6" customHeight="1" x14ac:dyDescent="0.2">
      <c r="A5" s="16"/>
      <c r="B5" s="16"/>
      <c r="C5" s="16"/>
      <c r="D5" s="16"/>
      <c r="E5" s="16"/>
      <c r="F5" s="16"/>
    </row>
    <row r="7" spans="1:7" ht="21.75" customHeight="1" x14ac:dyDescent="0.2">
      <c r="A7" s="15" t="s">
        <v>88</v>
      </c>
      <c r="B7" s="15"/>
      <c r="C7" s="15"/>
      <c r="D7" s="15" t="s">
        <v>89</v>
      </c>
      <c r="E7" s="15"/>
      <c r="F7" s="15"/>
    </row>
    <row r="8" spans="1:7" ht="31.5" customHeight="1" x14ac:dyDescent="0.2">
      <c r="A8" s="16">
        <f>MAX('Sales Data'!I4:I21)</f>
        <v>2660000</v>
      </c>
      <c r="B8" s="16"/>
      <c r="C8" s="16"/>
      <c r="D8" s="16">
        <f>MIN('Sales Data'!I4:I21)</f>
        <v>39200</v>
      </c>
      <c r="E8" s="16"/>
      <c r="F8" s="16"/>
    </row>
    <row r="9" spans="1:7" ht="6" customHeight="1" x14ac:dyDescent="0.2">
      <c r="A9" s="16"/>
      <c r="B9" s="16"/>
      <c r="C9" s="16"/>
      <c r="D9" s="16"/>
      <c r="E9" s="16"/>
      <c r="F9" s="16"/>
    </row>
    <row r="11" spans="1:7" ht="21.75" customHeight="1" x14ac:dyDescent="0.2">
      <c r="A11" s="15" t="s">
        <v>90</v>
      </c>
      <c r="B11" s="15"/>
      <c r="C11" s="15"/>
      <c r="D11" s="15" t="s">
        <v>91</v>
      </c>
      <c r="E11" s="15"/>
      <c r="F11" s="15"/>
    </row>
    <row r="12" spans="1:7" ht="31.5" customHeight="1" x14ac:dyDescent="0.2">
      <c r="A12" s="17">
        <f>SUM('Sales Data'!E4:E21)</f>
        <v>4010</v>
      </c>
      <c r="B12" s="17"/>
      <c r="C12" s="17"/>
      <c r="D12" s="18">
        <f>COUNT('Sales Data'!E4:E21)</f>
        <v>18</v>
      </c>
      <c r="E12" s="18"/>
      <c r="F12" s="18"/>
    </row>
    <row r="13" spans="1:7" ht="6" customHeight="1" x14ac:dyDescent="0.2">
      <c r="A13" s="17"/>
      <c r="B13" s="17"/>
      <c r="C13" s="17"/>
      <c r="D13" s="18"/>
      <c r="E13" s="18"/>
      <c r="F13" s="18"/>
    </row>
    <row r="15" spans="1:7" ht="21.75" customHeight="1" x14ac:dyDescent="0.2">
      <c r="A15" s="15" t="s">
        <v>92</v>
      </c>
      <c r="B15" s="15"/>
      <c r="C15" s="15"/>
      <c r="D15" s="15" t="s">
        <v>93</v>
      </c>
      <c r="E15" s="15"/>
      <c r="F15" s="15"/>
    </row>
    <row r="16" spans="1:7" ht="31.5" customHeight="1" x14ac:dyDescent="0.2">
      <c r="A16" s="16">
        <f>SUMIF('Sales Data'!D4:D21,"Electronics",'Sales Data'!I4:I21)</f>
        <v>11555950</v>
      </c>
      <c r="B16" s="16"/>
      <c r="C16" s="16"/>
      <c r="D16" s="16">
        <f>SUMIF('Sales Data'!C4:C21,"North",'Sales Data'!I4:I21)</f>
        <v>5752820</v>
      </c>
      <c r="E16" s="16"/>
      <c r="F16" s="16"/>
    </row>
    <row r="17" spans="1:7" ht="6" customHeight="1" x14ac:dyDescent="0.2">
      <c r="A17" s="16"/>
      <c r="B17" s="16"/>
      <c r="C17" s="16"/>
      <c r="D17" s="16"/>
      <c r="E17" s="16"/>
      <c r="F17" s="16"/>
    </row>
    <row r="19" spans="1:7" ht="24" customHeight="1" x14ac:dyDescent="0.2">
      <c r="A19" s="20" t="s">
        <v>94</v>
      </c>
      <c r="B19" s="20"/>
      <c r="C19" s="20"/>
      <c r="D19" s="20"/>
      <c r="E19" s="20"/>
      <c r="F19" s="20"/>
      <c r="G19" s="20"/>
    </row>
    <row r="20" spans="1:7" x14ac:dyDescent="0.2">
      <c r="A20" s="21" t="s">
        <v>4</v>
      </c>
      <c r="B20" s="21" t="s">
        <v>95</v>
      </c>
      <c r="C20" s="21" t="s">
        <v>6</v>
      </c>
      <c r="D20" s="21" t="s">
        <v>96</v>
      </c>
      <c r="E20" s="21" t="s">
        <v>97</v>
      </c>
      <c r="F20" s="21" t="s">
        <v>98</v>
      </c>
    </row>
    <row r="21" spans="1:7" ht="19.5" customHeight="1" x14ac:dyDescent="0.2">
      <c r="A21" s="22" t="s">
        <v>13</v>
      </c>
      <c r="B21" s="23">
        <f>SUMIF('Sales Data'!C4:C21,"North",'Sales Data'!I4:I21)</f>
        <v>5752820</v>
      </c>
      <c r="C21" s="24">
        <f>SUMIF('Sales Data'!C4:C21,"North",'Sales Data'!E4:E21)</f>
        <v>435</v>
      </c>
      <c r="D21" s="25">
        <f>AVERAGEIF('Sales Data'!C4:C21,"North",'Sales Data'!H4:H21)</f>
        <v>10</v>
      </c>
      <c r="E21" s="26">
        <f>COUNTIF('Sales Data'!C4:C21,"North")</f>
        <v>5</v>
      </c>
      <c r="F21" s="27" t="str">
        <f>IF(SUMIF('Sales Data'!C4:C21,"North",'Sales Data'!I4:I21)&gt;500000,"STRONG","MODERATE")</f>
        <v>STRONG</v>
      </c>
    </row>
    <row r="22" spans="1:7" ht="19.5" customHeight="1" x14ac:dyDescent="0.2">
      <c r="A22" s="28" t="s">
        <v>17</v>
      </c>
      <c r="B22" s="23">
        <f>SUMIF('Sales Data'!C4:C21,"South",'Sales Data'!I4:I21)</f>
        <v>4599072.5</v>
      </c>
      <c r="C22" s="29">
        <f>SUMIF('Sales Data'!C4:C21,"South",'Sales Data'!E4:E21)</f>
        <v>1145</v>
      </c>
      <c r="D22" s="30">
        <f>AVERAGEIF('Sales Data'!C4:C21,"South",'Sales Data'!H4:H21)</f>
        <v>7</v>
      </c>
      <c r="E22" s="31">
        <f>COUNTIF('Sales Data'!C4:C21,"South")</f>
        <v>5</v>
      </c>
      <c r="F22" s="27" t="str">
        <f>IF(SUMIF('Sales Data'!C4:C21,"South",'Sales Data'!I4:I21)&gt;500000,"STRONG","MODERATE")</f>
        <v>STRONG</v>
      </c>
    </row>
    <row r="23" spans="1:7" ht="19.5" customHeight="1" x14ac:dyDescent="0.2">
      <c r="A23" s="22" t="s">
        <v>20</v>
      </c>
      <c r="B23" s="23">
        <f>SUMIF('Sales Data'!C4:C21,"East",'Sales Data'!I4:I21)</f>
        <v>560900</v>
      </c>
      <c r="C23" s="24">
        <f>SUMIF('Sales Data'!C4:C21,"East",'Sales Data'!E4:E21)</f>
        <v>1610</v>
      </c>
      <c r="D23" s="25">
        <f>AVERAGEIF('Sales Data'!C4:C21,"East",'Sales Data'!H4:H21)</f>
        <v>4</v>
      </c>
      <c r="E23" s="26">
        <f>COUNTIF('Sales Data'!C4:C21,"East")</f>
        <v>4</v>
      </c>
      <c r="F23" s="27" t="str">
        <f>IF(SUMIF('Sales Data'!C4:C21,"East",'Sales Data'!I4:I21)&gt;500000,"STRONG","MODERATE")</f>
        <v>STRONG</v>
      </c>
    </row>
    <row r="24" spans="1:7" ht="19.5" customHeight="1" x14ac:dyDescent="0.2">
      <c r="A24" s="28" t="s">
        <v>24</v>
      </c>
      <c r="B24" s="23">
        <f>SUMIF('Sales Data'!C4:C21,"West",'Sales Data'!I4:I21)</f>
        <v>3632216</v>
      </c>
      <c r="C24" s="29">
        <f>SUMIF('Sales Data'!C4:C21,"West",'Sales Data'!E4:E21)</f>
        <v>820</v>
      </c>
      <c r="D24" s="30">
        <f>AVERAGEIF('Sales Data'!C4:C21,"West",'Sales Data'!H4:H21)</f>
        <v>6.25</v>
      </c>
      <c r="E24" s="31">
        <f>COUNTIF('Sales Data'!C4:C21,"West")</f>
        <v>4</v>
      </c>
      <c r="F24" s="27" t="str">
        <f>IF(SUMIF('Sales Data'!C4:C21,"West",'Sales Data'!I4:I21)&gt;500000,"STRONG","MODERATE")</f>
        <v>STRONG</v>
      </c>
    </row>
  </sheetData>
  <mergeCells count="19">
    <mergeCell ref="A19:G19"/>
    <mergeCell ref="A12:C13"/>
    <mergeCell ref="D12:F13"/>
    <mergeCell ref="A15:C15"/>
    <mergeCell ref="D15:F15"/>
    <mergeCell ref="A16:C17"/>
    <mergeCell ref="D16:F17"/>
    <mergeCell ref="A7:C7"/>
    <mergeCell ref="D7:F7"/>
    <mergeCell ref="A8:C9"/>
    <mergeCell ref="D8:F9"/>
    <mergeCell ref="A11:C11"/>
    <mergeCell ref="D11:F11"/>
    <mergeCell ref="A1:G1"/>
    <mergeCell ref="A2:G2"/>
    <mergeCell ref="A3:C3"/>
    <mergeCell ref="D3:F3"/>
    <mergeCell ref="A4:C5"/>
    <mergeCell ref="D4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Analysis &amp; Formulas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 Gupta</cp:lastModifiedBy>
  <cp:revision>0</cp:revision>
  <dcterms:created xsi:type="dcterms:W3CDTF">2026-04-11T06:25:54Z</dcterms:created>
  <dcterms:modified xsi:type="dcterms:W3CDTF">2026-04-12T12:13:58Z</dcterms:modified>
  <dc:language>en-US</dc:language>
</cp:coreProperties>
</file>